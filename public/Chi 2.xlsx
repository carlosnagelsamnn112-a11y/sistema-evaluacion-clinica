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s\Desktop\sistema-evaluacion-clinica\"/>
    </mc:Choice>
  </mc:AlternateContent>
  <xr:revisionPtr revIDLastSave="0" documentId="8_{41897E31-5BDE-4222-BB4B-B753E8CCDF3F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Chi2 Ejemplo1" sheetId="2" r:id="rId1"/>
    <sheet name="Chi2 Ejemplo2" sheetId="6" r:id="rId2"/>
    <sheet name="Tabl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6" l="1"/>
  <c r="H4" i="6"/>
  <c r="D4" i="6"/>
  <c r="B4" i="6"/>
  <c r="H3" i="6"/>
  <c r="F3" i="6"/>
  <c r="H2" i="6"/>
  <c r="F2" i="6"/>
  <c r="H1" i="6"/>
  <c r="D8" i="2"/>
  <c r="H4" i="2"/>
  <c r="H3" i="2"/>
  <c r="H2" i="2"/>
  <c r="H1" i="2"/>
  <c r="D4" i="2"/>
  <c r="B4" i="2"/>
  <c r="F3" i="2"/>
  <c r="F2" i="2"/>
  <c r="F4" i="6" l="1"/>
  <c r="C2" i="6" s="1"/>
  <c r="I1" i="6" s="1"/>
  <c r="F4" i="2"/>
  <c r="C2" i="2" s="1"/>
  <c r="E2" i="6" l="1"/>
  <c r="I3" i="6" s="1"/>
  <c r="C3" i="6"/>
  <c r="I2" i="6" s="1"/>
  <c r="I5" i="6" s="1"/>
  <c r="B14" i="6" s="1"/>
  <c r="E3" i="6"/>
  <c r="I4" i="6" s="1"/>
  <c r="I1" i="2"/>
  <c r="C3" i="2"/>
  <c r="I2" i="2" s="1"/>
  <c r="E2" i="2"/>
  <c r="I3" i="2" s="1"/>
  <c r="E3" i="2"/>
  <c r="I4" i="2" s="1"/>
  <c r="I5" i="2" l="1"/>
  <c r="B14" i="2" s="1"/>
</calcChain>
</file>

<file path=xl/sharedStrings.xml><?xml version="1.0" encoding="utf-8"?>
<sst xmlns="http://schemas.openxmlformats.org/spreadsheetml/2006/main" count="45" uniqueCount="29">
  <si>
    <t>Con trasntorno</t>
  </si>
  <si>
    <t>Sin trasntorno</t>
  </si>
  <si>
    <t>Total</t>
  </si>
  <si>
    <t>Con lesion</t>
  </si>
  <si>
    <t>Sin lesion</t>
  </si>
  <si>
    <t>Suma</t>
  </si>
  <si>
    <t>gl</t>
  </si>
  <si>
    <t>P=0.995</t>
  </si>
  <si>
    <t>P=0.99</t>
  </si>
  <si>
    <t>P=0.975</t>
  </si>
  <si>
    <t>P=0.95</t>
  </si>
  <si>
    <t>P=0.9</t>
  </si>
  <si>
    <t>P=0.1</t>
  </si>
  <si>
    <t>P=0.05</t>
  </si>
  <si>
    <t>P=0.025</t>
  </si>
  <si>
    <t>P=0.01</t>
  </si>
  <si>
    <t>P=0.005</t>
  </si>
  <si>
    <t>Columnas</t>
  </si>
  <si>
    <t>Filas</t>
  </si>
  <si>
    <t>P</t>
  </si>
  <si>
    <t>Comparacion</t>
  </si>
  <si>
    <t>hipótesis nula</t>
  </si>
  <si>
    <t>hipótesis alternativa</t>
  </si>
  <si>
    <t xml:space="preserve"> </t>
  </si>
  <si>
    <t>frecuencia esperada</t>
  </si>
  <si>
    <t>Con mordedura de labios</t>
  </si>
  <si>
    <t>Sin  mordedura de labios</t>
  </si>
  <si>
    <t>Con Ansiedad</t>
  </si>
  <si>
    <t>Sin Ansiedad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</si>
</sst>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8838-4090-45C9-8F1D-745276B53039}">
  <dimension ref="A1:I16"/>
  <sheetViews>
    <sheetView workbookViewId="0">
      <selection activeCell="D14" sqref="D14"/>
    </sheetView>
  </sheetViews>
  <sheetFormatPr baseColWidth="10" defaultRowHeight="15" x14ac:dyDescent="0.25"/>
  <cols>
    <col min="1" max="1" width="12.5703125" bestFit="1" customWidth="1"/>
    <col min="2" max="2" width="14.140625" bestFit="1" customWidth="1"/>
    <col min="3" max="3" width="19" bestFit="1" customWidth="1"/>
    <col min="4" max="4" width="13.42578125" bestFit="1" customWidth="1"/>
    <col min="5" max="5" width="19" bestFit="1" customWidth="1"/>
    <col min="8" max="8" width="24.140625" bestFit="1" customWidth="1"/>
  </cols>
  <sheetData>
    <row r="1" spans="1:9" x14ac:dyDescent="0.25">
      <c r="B1" s="1" t="s">
        <v>0</v>
      </c>
      <c r="C1" s="1" t="s">
        <v>24</v>
      </c>
      <c r="D1" s="1" t="s">
        <v>1</v>
      </c>
      <c r="E1" s="1" t="s">
        <v>24</v>
      </c>
      <c r="F1" s="1" t="s">
        <v>2</v>
      </c>
      <c r="G1" s="1" t="s">
        <v>23</v>
      </c>
      <c r="H1" t="str">
        <f>CONCATENATE(A2, " ", B1)</f>
        <v>Con lesion Con trasntorno</v>
      </c>
      <c r="I1">
        <f>((B2-C2)^2)/C2</f>
        <v>1.3557422969187756E-2</v>
      </c>
    </row>
    <row r="2" spans="1:9" x14ac:dyDescent="0.25">
      <c r="A2" t="s">
        <v>3</v>
      </c>
      <c r="B2" s="5">
        <v>58</v>
      </c>
      <c r="C2" s="1">
        <f>F2*B4/F4</f>
        <v>57.12</v>
      </c>
      <c r="D2" s="5">
        <v>44</v>
      </c>
      <c r="E2" s="1">
        <f>F2*D4/F4</f>
        <v>44.88</v>
      </c>
      <c r="F2" s="1">
        <f>B2+D2</f>
        <v>102</v>
      </c>
      <c r="H2" t="str">
        <f>CONCATENATE(A3, " ", B1)</f>
        <v>Sin lesion Con trasntorno</v>
      </c>
      <c r="I2">
        <f>((B3-C3)^2)/C3</f>
        <v>2.8809523809523743E-2</v>
      </c>
    </row>
    <row r="3" spans="1:9" x14ac:dyDescent="0.25">
      <c r="A3" t="s">
        <v>4</v>
      </c>
      <c r="B3" s="5">
        <v>26</v>
      </c>
      <c r="C3" s="1">
        <f>F3*B4/F4</f>
        <v>26.88</v>
      </c>
      <c r="D3" s="5">
        <v>22</v>
      </c>
      <c r="E3" s="1">
        <f>F3*D4/F4</f>
        <v>21.12</v>
      </c>
      <c r="F3" s="1">
        <f>B3+D3</f>
        <v>48</v>
      </c>
      <c r="H3" t="str">
        <f>CONCATENATE(A2, " ", D1)</f>
        <v>Con lesion Sin trasntorno</v>
      </c>
      <c r="I3">
        <f>((D2-E2)^2)/E2</f>
        <v>1.7254901960784413E-2</v>
      </c>
    </row>
    <row r="4" spans="1:9" x14ac:dyDescent="0.25">
      <c r="A4" t="s">
        <v>2</v>
      </c>
      <c r="B4" s="1">
        <f>B2+B3</f>
        <v>84</v>
      </c>
      <c r="C4" s="1"/>
      <c r="D4" s="1">
        <f>D2+D3</f>
        <v>66</v>
      </c>
      <c r="E4" s="1"/>
      <c r="F4" s="1">
        <f>B4+D4</f>
        <v>150</v>
      </c>
      <c r="H4" t="str">
        <f>CONCATENATE(A3, " ", D1)</f>
        <v>Sin lesion Sin trasntorno</v>
      </c>
      <c r="I4">
        <f>((D3-E3)^2)/E3</f>
        <v>3.6666666666666577E-2</v>
      </c>
    </row>
    <row r="5" spans="1:9" x14ac:dyDescent="0.25">
      <c r="B5" s="1"/>
      <c r="C5" s="1"/>
      <c r="D5" s="1"/>
      <c r="E5" s="1"/>
      <c r="F5" s="1"/>
      <c r="H5" s="2" t="s">
        <v>5</v>
      </c>
      <c r="I5">
        <f>SUM(I1:I4)</f>
        <v>9.6288515406162484E-2</v>
      </c>
    </row>
    <row r="7" spans="1:9" x14ac:dyDescent="0.25">
      <c r="B7" s="1" t="s">
        <v>17</v>
      </c>
      <c r="C7" s="1" t="s">
        <v>18</v>
      </c>
    </row>
    <row r="8" spans="1:9" x14ac:dyDescent="0.25">
      <c r="A8" t="s">
        <v>6</v>
      </c>
      <c r="B8" s="5">
        <v>2</v>
      </c>
      <c r="C8" s="5">
        <v>2</v>
      </c>
      <c r="D8" s="1">
        <f>(B8-1)*(C8-1)</f>
        <v>1</v>
      </c>
    </row>
    <row r="9" spans="1:9" x14ac:dyDescent="0.25">
      <c r="A9" t="s">
        <v>19</v>
      </c>
      <c r="B9">
        <v>0.95</v>
      </c>
    </row>
    <row r="11" spans="1:9" x14ac:dyDescent="0.25">
      <c r="A11" s="6"/>
      <c r="B11" s="6"/>
      <c r="C11" s="6"/>
      <c r="D11" s="6"/>
    </row>
    <row r="12" spans="1:9" x14ac:dyDescent="0.25">
      <c r="A12" s="6"/>
      <c r="B12" s="6"/>
      <c r="C12" s="6"/>
      <c r="D12" s="6"/>
    </row>
    <row r="13" spans="1:9" x14ac:dyDescent="0.25">
      <c r="A13" s="6"/>
      <c r="B13" s="6"/>
      <c r="C13" s="6"/>
      <c r="D13" s="6"/>
    </row>
    <row r="14" spans="1:9" x14ac:dyDescent="0.25">
      <c r="A14" t="s">
        <v>20</v>
      </c>
      <c r="B14">
        <f>I5</f>
        <v>9.6288515406162484E-2</v>
      </c>
      <c r="C14" s="8">
        <v>3.8410000000000002</v>
      </c>
    </row>
    <row r="16" spans="1:9" ht="30" x14ac:dyDescent="0.25">
      <c r="B16" s="7" t="s">
        <v>21</v>
      </c>
      <c r="C16" s="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57EC-3D28-4CB7-9386-53A8BCF0A277}">
  <dimension ref="A1:I16"/>
  <sheetViews>
    <sheetView tabSelected="1" workbookViewId="0">
      <selection activeCell="D13" sqref="D13"/>
    </sheetView>
  </sheetViews>
  <sheetFormatPr baseColWidth="10" defaultRowHeight="15" x14ac:dyDescent="0.25"/>
  <cols>
    <col min="1" max="1" width="23.42578125" bestFit="1" customWidth="1"/>
    <col min="2" max="2" width="14.140625" bestFit="1" customWidth="1"/>
    <col min="3" max="3" width="19" bestFit="1" customWidth="1"/>
    <col min="4" max="4" width="13.42578125" bestFit="1" customWidth="1"/>
    <col min="5" max="5" width="19" bestFit="1" customWidth="1"/>
    <col min="8" max="8" width="36.28515625" bestFit="1" customWidth="1"/>
  </cols>
  <sheetData>
    <row r="1" spans="1:9" x14ac:dyDescent="0.25">
      <c r="B1" s="1" t="s">
        <v>27</v>
      </c>
      <c r="C1" s="1" t="s">
        <v>24</v>
      </c>
      <c r="D1" s="1" t="s">
        <v>28</v>
      </c>
      <c r="E1" s="1" t="s">
        <v>24</v>
      </c>
      <c r="F1" s="1" t="s">
        <v>2</v>
      </c>
      <c r="G1" s="1" t="s">
        <v>23</v>
      </c>
      <c r="H1" t="str">
        <f>CONCATENATE(A2, " ", B1)</f>
        <v>Con mordedura de labios Con Ansiedad</v>
      </c>
      <c r="I1">
        <f>((B2-C2)^2)/C2</f>
        <v>1.8240631163708099</v>
      </c>
    </row>
    <row r="2" spans="1:9" x14ac:dyDescent="0.25">
      <c r="A2" t="s">
        <v>25</v>
      </c>
      <c r="B2" s="5">
        <v>36</v>
      </c>
      <c r="C2" s="1">
        <f>F2*B4/F4</f>
        <v>45.06666666666667</v>
      </c>
      <c r="D2" s="5">
        <v>29</v>
      </c>
      <c r="E2" s="1">
        <f>F2*D4/F4</f>
        <v>19.933333333333334</v>
      </c>
      <c r="F2" s="1">
        <f>B2+D2</f>
        <v>65</v>
      </c>
      <c r="H2" t="str">
        <f>CONCATENATE(A3, " ", B1)</f>
        <v>Sin  mordedura de labios Con Ansiedad</v>
      </c>
      <c r="I2">
        <f>((B3-C3)^2)/C3</f>
        <v>1.3948717948717959</v>
      </c>
    </row>
    <row r="3" spans="1:9" x14ac:dyDescent="0.25">
      <c r="A3" t="s">
        <v>26</v>
      </c>
      <c r="B3" s="5">
        <v>68</v>
      </c>
      <c r="C3" s="1">
        <f>F3*B4/F4</f>
        <v>58.93333333333333</v>
      </c>
      <c r="D3" s="5">
        <v>17</v>
      </c>
      <c r="E3" s="1">
        <f>F3*D4/F4</f>
        <v>26.066666666666666</v>
      </c>
      <c r="F3" s="1">
        <f>B3+D3</f>
        <v>85</v>
      </c>
      <c r="H3" t="str">
        <f>CONCATENATE(A2, " ", D1)</f>
        <v>Con mordedura de labios Sin Ansiedad</v>
      </c>
      <c r="I3">
        <f>((D2-E2)^2)/E2</f>
        <v>4.1239687848383495</v>
      </c>
    </row>
    <row r="4" spans="1:9" x14ac:dyDescent="0.25">
      <c r="A4" t="s">
        <v>2</v>
      </c>
      <c r="B4" s="1">
        <f>B2+B3</f>
        <v>104</v>
      </c>
      <c r="C4" s="1"/>
      <c r="D4" s="1">
        <f>D2+D3</f>
        <v>46</v>
      </c>
      <c r="E4" s="1"/>
      <c r="F4" s="1">
        <f>B4+D4</f>
        <v>150</v>
      </c>
      <c r="H4" t="str">
        <f>CONCATENATE(A3, " ", D1)</f>
        <v>Sin  mordedura de labios Sin Ansiedad</v>
      </c>
      <c r="I4">
        <f>((D3-E3)^2)/E3</f>
        <v>3.1536231884057968</v>
      </c>
    </row>
    <row r="5" spans="1:9" x14ac:dyDescent="0.25">
      <c r="B5" s="1"/>
      <c r="C5" s="1"/>
      <c r="D5" s="1"/>
      <c r="E5" s="1"/>
      <c r="F5" s="1"/>
      <c r="H5" s="2" t="s">
        <v>5</v>
      </c>
      <c r="I5">
        <f>SUM(I1:I4)</f>
        <v>10.496526884486752</v>
      </c>
    </row>
    <row r="7" spans="1:9" x14ac:dyDescent="0.25">
      <c r="B7" s="1" t="s">
        <v>17</v>
      </c>
      <c r="C7" s="1" t="s">
        <v>18</v>
      </c>
    </row>
    <row r="8" spans="1:9" x14ac:dyDescent="0.25">
      <c r="A8" t="s">
        <v>6</v>
      </c>
      <c r="B8" s="5">
        <v>2</v>
      </c>
      <c r="C8" s="5">
        <v>2</v>
      </c>
      <c r="D8" s="1">
        <f>(B8-1)*(C8-1)</f>
        <v>1</v>
      </c>
    </row>
    <row r="9" spans="1:9" x14ac:dyDescent="0.25">
      <c r="A9" t="s">
        <v>19</v>
      </c>
      <c r="B9">
        <v>0.95</v>
      </c>
    </row>
    <row r="11" spans="1:9" x14ac:dyDescent="0.25">
      <c r="A11" s="6"/>
      <c r="B11" s="6"/>
      <c r="C11" s="6"/>
      <c r="D11" s="6"/>
    </row>
    <row r="12" spans="1:9" x14ac:dyDescent="0.25">
      <c r="A12" s="6"/>
      <c r="B12" s="6"/>
      <c r="C12" s="6"/>
      <c r="D12" s="6"/>
    </row>
    <row r="13" spans="1:9" x14ac:dyDescent="0.25">
      <c r="A13" s="6"/>
      <c r="B13" s="6"/>
      <c r="C13" s="6"/>
      <c r="D13" s="6"/>
    </row>
    <row r="14" spans="1:9" x14ac:dyDescent="0.25">
      <c r="A14" t="s">
        <v>20</v>
      </c>
      <c r="B14">
        <f>I5</f>
        <v>10.496526884486752</v>
      </c>
      <c r="C14" s="8">
        <v>3.8410000000000002</v>
      </c>
    </row>
    <row r="16" spans="1:9" ht="30" x14ac:dyDescent="0.25">
      <c r="B16" s="7" t="s">
        <v>21</v>
      </c>
      <c r="C16" s="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DB2B-5BD9-4D6F-AD4C-C2BB62833E87}">
  <dimension ref="A1:K31"/>
  <sheetViews>
    <sheetView workbookViewId="0">
      <selection activeCell="E2" sqref="E2"/>
    </sheetView>
  </sheetViews>
  <sheetFormatPr baseColWidth="10" defaultRowHeight="15" x14ac:dyDescent="0.25"/>
  <sheetData>
    <row r="1" spans="1:1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x14ac:dyDescent="0.25">
      <c r="A2" s="4">
        <v>1</v>
      </c>
      <c r="B2" s="4">
        <v>7.8789999999999996</v>
      </c>
      <c r="C2" s="4">
        <v>6.6349999999999998</v>
      </c>
      <c r="D2" s="4">
        <v>5.024</v>
      </c>
      <c r="E2" s="4">
        <v>3.8410000000000002</v>
      </c>
      <c r="F2" s="4">
        <v>2.706</v>
      </c>
      <c r="G2" s="4">
        <v>1.6E-2</v>
      </c>
      <c r="H2" s="4">
        <v>4.0000000000000001E-3</v>
      </c>
      <c r="I2" s="4">
        <v>1E-3</v>
      </c>
      <c r="J2" s="4">
        <v>0</v>
      </c>
      <c r="K2" s="4">
        <v>0</v>
      </c>
    </row>
    <row r="3" spans="1:11" x14ac:dyDescent="0.25">
      <c r="A3" s="4">
        <v>2</v>
      </c>
      <c r="B3" s="4">
        <v>10.597</v>
      </c>
      <c r="C3" s="4">
        <v>9.2100000000000009</v>
      </c>
      <c r="D3" s="4">
        <v>7.3780000000000001</v>
      </c>
      <c r="E3" s="4">
        <v>5.9909999999999997</v>
      </c>
      <c r="F3" s="4">
        <v>4.6050000000000004</v>
      </c>
      <c r="G3" s="4">
        <v>0.21099999999999999</v>
      </c>
      <c r="H3" s="4">
        <v>0.10299999999999999</v>
      </c>
      <c r="I3" s="4">
        <v>5.0999999999999997E-2</v>
      </c>
      <c r="J3" s="4">
        <v>0.02</v>
      </c>
      <c r="K3" s="4">
        <v>0.01</v>
      </c>
    </row>
    <row r="4" spans="1:11" x14ac:dyDescent="0.25">
      <c r="A4" s="4">
        <v>3</v>
      </c>
      <c r="B4" s="4">
        <v>12.837999999999999</v>
      </c>
      <c r="C4" s="4">
        <v>11.345000000000001</v>
      </c>
      <c r="D4" s="4">
        <v>9.3480000000000008</v>
      </c>
      <c r="E4" s="4">
        <v>7.8150000000000004</v>
      </c>
      <c r="F4" s="4">
        <v>6.2510000000000003</v>
      </c>
      <c r="G4" s="4">
        <v>0.58399999999999996</v>
      </c>
      <c r="H4" s="4">
        <v>0.35199999999999998</v>
      </c>
      <c r="I4" s="4">
        <v>0.216</v>
      </c>
      <c r="J4" s="4">
        <v>0.115</v>
      </c>
      <c r="K4" s="4">
        <v>7.1999999999999995E-2</v>
      </c>
    </row>
    <row r="5" spans="1:11" x14ac:dyDescent="0.25">
      <c r="A5" s="4">
        <v>4</v>
      </c>
      <c r="B5" s="4">
        <v>14.86</v>
      </c>
      <c r="C5" s="4">
        <v>13.276999999999999</v>
      </c>
      <c r="D5" s="4">
        <v>11.143000000000001</v>
      </c>
      <c r="E5" s="4">
        <v>9.4879999999999995</v>
      </c>
      <c r="F5" s="4">
        <v>7.7789999999999999</v>
      </c>
      <c r="G5" s="4">
        <v>1.0640000000000001</v>
      </c>
      <c r="H5" s="4">
        <v>0.71099999999999997</v>
      </c>
      <c r="I5" s="4">
        <v>0.48399999999999999</v>
      </c>
      <c r="J5" s="4">
        <v>0.29699999999999999</v>
      </c>
      <c r="K5" s="4">
        <v>0.20699999999999999</v>
      </c>
    </row>
    <row r="6" spans="1:11" x14ac:dyDescent="0.25">
      <c r="A6" s="4">
        <v>5</v>
      </c>
      <c r="B6" s="4">
        <v>16.75</v>
      </c>
      <c r="C6" s="4">
        <v>15.086</v>
      </c>
      <c r="D6" s="4">
        <v>12.833</v>
      </c>
      <c r="E6" s="4">
        <v>11.07</v>
      </c>
      <c r="F6" s="4">
        <v>9.2360000000000007</v>
      </c>
      <c r="G6" s="4">
        <v>1.61</v>
      </c>
      <c r="H6" s="4">
        <v>1.145</v>
      </c>
      <c r="I6" s="4">
        <v>0.83099999999999996</v>
      </c>
      <c r="J6" s="4">
        <v>0.55400000000000005</v>
      </c>
      <c r="K6" s="4">
        <v>0.41199999999999998</v>
      </c>
    </row>
    <row r="7" spans="1:11" x14ac:dyDescent="0.25">
      <c r="A7" s="4">
        <v>6</v>
      </c>
      <c r="B7" s="4">
        <v>18.547999999999998</v>
      </c>
      <c r="C7" s="4">
        <v>16.812000000000001</v>
      </c>
      <c r="D7" s="4">
        <v>14.449</v>
      </c>
      <c r="E7" s="4">
        <v>12.592000000000001</v>
      </c>
      <c r="F7" s="4">
        <v>10.645</v>
      </c>
      <c r="G7" s="4">
        <v>2.2040000000000002</v>
      </c>
      <c r="H7" s="4">
        <v>1.635</v>
      </c>
      <c r="I7" s="4">
        <v>1.2370000000000001</v>
      </c>
      <c r="J7" s="4">
        <v>0.872</v>
      </c>
      <c r="K7" s="4">
        <v>0.67600000000000005</v>
      </c>
    </row>
    <row r="8" spans="1:11" x14ac:dyDescent="0.25">
      <c r="A8" s="4">
        <v>7</v>
      </c>
      <c r="B8" s="4">
        <v>20.277999999999999</v>
      </c>
      <c r="C8" s="4">
        <v>18.475000000000001</v>
      </c>
      <c r="D8" s="4">
        <v>16.013000000000002</v>
      </c>
      <c r="E8" s="4">
        <v>14.067</v>
      </c>
      <c r="F8" s="4">
        <v>12.016999999999999</v>
      </c>
      <c r="G8" s="4">
        <v>2.8330000000000002</v>
      </c>
      <c r="H8" s="4">
        <v>2.1669999999999998</v>
      </c>
      <c r="I8" s="4">
        <v>1.69</v>
      </c>
      <c r="J8" s="4">
        <v>1.2390000000000001</v>
      </c>
      <c r="K8" s="4">
        <v>0.98899999999999999</v>
      </c>
    </row>
    <row r="9" spans="1:11" x14ac:dyDescent="0.25">
      <c r="A9" s="4">
        <v>8</v>
      </c>
      <c r="B9" s="4">
        <v>21.954999999999998</v>
      </c>
      <c r="C9" s="4">
        <v>20.09</v>
      </c>
      <c r="D9" s="4">
        <v>17.535</v>
      </c>
      <c r="E9" s="4">
        <v>15.507</v>
      </c>
      <c r="F9" s="4">
        <v>13.362</v>
      </c>
      <c r="G9" s="4">
        <v>3.49</v>
      </c>
      <c r="H9" s="4">
        <v>2.7330000000000001</v>
      </c>
      <c r="I9" s="4">
        <v>2.1800000000000002</v>
      </c>
      <c r="J9" s="4">
        <v>1.6459999999999999</v>
      </c>
      <c r="K9" s="4">
        <v>1.3440000000000001</v>
      </c>
    </row>
    <row r="10" spans="1:11" x14ac:dyDescent="0.25">
      <c r="A10" s="4">
        <v>9</v>
      </c>
      <c r="B10" s="4">
        <v>23.588999999999999</v>
      </c>
      <c r="C10" s="4">
        <v>21.666</v>
      </c>
      <c r="D10" s="4">
        <v>19.023</v>
      </c>
      <c r="E10" s="4">
        <v>16.919</v>
      </c>
      <c r="F10" s="4">
        <v>14.683999999999999</v>
      </c>
      <c r="G10" s="4">
        <v>4.1680000000000001</v>
      </c>
      <c r="H10" s="4">
        <v>3.3250000000000002</v>
      </c>
      <c r="I10" s="4">
        <v>2.7</v>
      </c>
      <c r="J10" s="4">
        <v>2.0880000000000001</v>
      </c>
      <c r="K10" s="4">
        <v>1.7350000000000001</v>
      </c>
    </row>
    <row r="11" spans="1:11" x14ac:dyDescent="0.25">
      <c r="A11" s="4">
        <v>10</v>
      </c>
      <c r="B11" s="4">
        <v>25.187999999999999</v>
      </c>
      <c r="C11" s="4">
        <v>23.209</v>
      </c>
      <c r="D11" s="4">
        <v>20.483000000000001</v>
      </c>
      <c r="E11" s="4">
        <v>18.306999999999999</v>
      </c>
      <c r="F11" s="4">
        <v>15.987</v>
      </c>
      <c r="G11" s="4">
        <v>4.8650000000000002</v>
      </c>
      <c r="H11" s="4">
        <v>3.94</v>
      </c>
      <c r="I11" s="4">
        <v>3.2469999999999999</v>
      </c>
      <c r="J11" s="4">
        <v>2.5579999999999998</v>
      </c>
      <c r="K11" s="4">
        <v>2.1560000000000001</v>
      </c>
    </row>
    <row r="12" spans="1:11" x14ac:dyDescent="0.25">
      <c r="A12" s="4">
        <v>11</v>
      </c>
      <c r="B12" s="4">
        <v>26.757000000000001</v>
      </c>
      <c r="C12" s="4">
        <v>24.725000000000001</v>
      </c>
      <c r="D12" s="4">
        <v>21.92</v>
      </c>
      <c r="E12" s="4">
        <v>19.675000000000001</v>
      </c>
      <c r="F12" s="4">
        <v>17.274999999999999</v>
      </c>
      <c r="G12" s="4">
        <v>5.5780000000000003</v>
      </c>
      <c r="H12" s="4">
        <v>4.5750000000000002</v>
      </c>
      <c r="I12" s="4">
        <v>3.8159999999999998</v>
      </c>
      <c r="J12" s="4">
        <v>3.0529999999999999</v>
      </c>
      <c r="K12" s="4">
        <v>2.6030000000000002</v>
      </c>
    </row>
    <row r="13" spans="1:11" x14ac:dyDescent="0.25">
      <c r="A13" s="4">
        <v>12</v>
      </c>
      <c r="B13" s="4">
        <v>28.3</v>
      </c>
      <c r="C13" s="4">
        <v>26.216999999999999</v>
      </c>
      <c r="D13" s="4">
        <v>23.337</v>
      </c>
      <c r="E13" s="4">
        <v>21.026</v>
      </c>
      <c r="F13" s="4">
        <v>18.548999999999999</v>
      </c>
      <c r="G13" s="4">
        <v>6.3040000000000003</v>
      </c>
      <c r="H13" s="4">
        <v>5.226</v>
      </c>
      <c r="I13" s="4">
        <v>4.4039999999999999</v>
      </c>
      <c r="J13" s="4">
        <v>3.5710000000000002</v>
      </c>
      <c r="K13" s="4">
        <v>3.0739999999999998</v>
      </c>
    </row>
    <row r="14" spans="1:11" x14ac:dyDescent="0.25">
      <c r="A14" s="4">
        <v>13</v>
      </c>
      <c r="B14" s="4">
        <v>29.818999999999999</v>
      </c>
      <c r="C14" s="4">
        <v>27.687999999999999</v>
      </c>
      <c r="D14" s="4">
        <v>24.736000000000001</v>
      </c>
      <c r="E14" s="4">
        <v>22.361999999999998</v>
      </c>
      <c r="F14" s="4">
        <v>19.812000000000001</v>
      </c>
      <c r="G14" s="4">
        <v>7.0419999999999998</v>
      </c>
      <c r="H14" s="4">
        <v>5.8920000000000003</v>
      </c>
      <c r="I14" s="4">
        <v>5.0090000000000003</v>
      </c>
      <c r="J14" s="4">
        <v>4.1070000000000002</v>
      </c>
      <c r="K14" s="4">
        <v>3.5649999999999999</v>
      </c>
    </row>
    <row r="15" spans="1:11" x14ac:dyDescent="0.25">
      <c r="A15" s="4">
        <v>14</v>
      </c>
      <c r="B15" s="4">
        <v>31.318999999999999</v>
      </c>
      <c r="C15" s="4">
        <v>29.140999999999998</v>
      </c>
      <c r="D15" s="4">
        <v>26.119</v>
      </c>
      <c r="E15" s="4">
        <v>23.684999999999999</v>
      </c>
      <c r="F15" s="4">
        <v>21.064</v>
      </c>
      <c r="G15" s="4">
        <v>7.79</v>
      </c>
      <c r="H15" s="4">
        <v>6.5709999999999997</v>
      </c>
      <c r="I15" s="4">
        <v>5.6289999999999996</v>
      </c>
      <c r="J15" s="4">
        <v>4.66</v>
      </c>
      <c r="K15" s="4">
        <v>4.0750000000000002</v>
      </c>
    </row>
    <row r="16" spans="1:11" x14ac:dyDescent="0.25">
      <c r="A16" s="4">
        <v>15</v>
      </c>
      <c r="B16" s="4">
        <v>32.801000000000002</v>
      </c>
      <c r="C16" s="4">
        <v>30.577999999999999</v>
      </c>
      <c r="D16" s="4">
        <v>27.488</v>
      </c>
      <c r="E16" s="4">
        <v>24.995999999999999</v>
      </c>
      <c r="F16" s="4">
        <v>22.306999999999999</v>
      </c>
      <c r="G16" s="4">
        <v>8.5470000000000006</v>
      </c>
      <c r="H16" s="4">
        <v>7.2610000000000001</v>
      </c>
      <c r="I16" s="4">
        <v>6.2619999999999996</v>
      </c>
      <c r="J16" s="4">
        <v>5.2290000000000001</v>
      </c>
      <c r="K16" s="4">
        <v>4.601</v>
      </c>
    </row>
    <row r="17" spans="1:11" x14ac:dyDescent="0.25">
      <c r="A17" s="4">
        <v>16</v>
      </c>
      <c r="B17" s="4">
        <v>34.267000000000003</v>
      </c>
      <c r="C17" s="4">
        <v>32</v>
      </c>
      <c r="D17" s="4">
        <v>28.844999999999999</v>
      </c>
      <c r="E17" s="4">
        <v>26.295999999999999</v>
      </c>
      <c r="F17" s="4">
        <v>23.542000000000002</v>
      </c>
      <c r="G17" s="4">
        <v>9.3119999999999994</v>
      </c>
      <c r="H17" s="4">
        <v>7.9619999999999997</v>
      </c>
      <c r="I17" s="4">
        <v>6.9080000000000004</v>
      </c>
      <c r="J17" s="4">
        <v>5.8120000000000003</v>
      </c>
      <c r="K17" s="4">
        <v>5.1420000000000003</v>
      </c>
    </row>
    <row r="18" spans="1:11" x14ac:dyDescent="0.25">
      <c r="A18" s="4">
        <v>17</v>
      </c>
      <c r="B18" s="4">
        <v>35.718000000000004</v>
      </c>
      <c r="C18" s="4">
        <v>33.408999999999999</v>
      </c>
      <c r="D18" s="4">
        <v>30.190999999999999</v>
      </c>
      <c r="E18" s="4">
        <v>27.587</v>
      </c>
      <c r="F18" s="4">
        <v>24.768999999999998</v>
      </c>
      <c r="G18" s="4">
        <v>10.085000000000001</v>
      </c>
      <c r="H18" s="4">
        <v>8.6720000000000006</v>
      </c>
      <c r="I18" s="4">
        <v>7.5640000000000001</v>
      </c>
      <c r="J18" s="4">
        <v>6.4080000000000004</v>
      </c>
      <c r="K18" s="4">
        <v>5.6970000000000001</v>
      </c>
    </row>
    <row r="19" spans="1:11" x14ac:dyDescent="0.25">
      <c r="A19" s="4">
        <v>18</v>
      </c>
      <c r="B19" s="4">
        <v>37.155999999999999</v>
      </c>
      <c r="C19" s="4">
        <v>34.805</v>
      </c>
      <c r="D19" s="4">
        <v>31.526</v>
      </c>
      <c r="E19" s="4">
        <v>28.869</v>
      </c>
      <c r="F19" s="4">
        <v>25.989000000000001</v>
      </c>
      <c r="G19" s="4">
        <v>10.865</v>
      </c>
      <c r="H19" s="4">
        <v>9.39</v>
      </c>
      <c r="I19" s="4">
        <v>8.2309999999999999</v>
      </c>
      <c r="J19" s="4">
        <v>7.0149999999999997</v>
      </c>
      <c r="K19" s="4">
        <v>6.2649999999999997</v>
      </c>
    </row>
    <row r="20" spans="1:11" x14ac:dyDescent="0.25">
      <c r="A20" s="4">
        <v>19</v>
      </c>
      <c r="B20" s="4">
        <v>38.582000000000001</v>
      </c>
      <c r="C20" s="4">
        <v>36.191000000000003</v>
      </c>
      <c r="D20" s="4">
        <v>32.851999999999997</v>
      </c>
      <c r="E20" s="4">
        <v>30.143999999999998</v>
      </c>
      <c r="F20" s="4">
        <v>27.204000000000001</v>
      </c>
      <c r="G20" s="4">
        <v>11.651</v>
      </c>
      <c r="H20" s="4">
        <v>10.117000000000001</v>
      </c>
      <c r="I20" s="4">
        <v>8.907</v>
      </c>
      <c r="J20" s="4">
        <v>7.633</v>
      </c>
      <c r="K20" s="4">
        <v>6.8440000000000003</v>
      </c>
    </row>
    <row r="21" spans="1:11" x14ac:dyDescent="0.25">
      <c r="A21" s="4">
        <v>20</v>
      </c>
      <c r="B21" s="4">
        <v>39.997</v>
      </c>
      <c r="C21" s="4">
        <v>37.566000000000003</v>
      </c>
      <c r="D21" s="4">
        <v>34.17</v>
      </c>
      <c r="E21" s="4">
        <v>31.41</v>
      </c>
      <c r="F21" s="4">
        <v>28.411999999999999</v>
      </c>
      <c r="G21" s="4">
        <v>12.443</v>
      </c>
      <c r="H21" s="4">
        <v>10.851000000000001</v>
      </c>
      <c r="I21" s="4">
        <v>9.5909999999999993</v>
      </c>
      <c r="J21" s="4">
        <v>8.26</v>
      </c>
      <c r="K21" s="4">
        <v>7.4340000000000002</v>
      </c>
    </row>
    <row r="22" spans="1:11" x14ac:dyDescent="0.25">
      <c r="A22" s="4">
        <v>21</v>
      </c>
      <c r="B22" s="4">
        <v>41.401000000000003</v>
      </c>
      <c r="C22" s="4">
        <v>38.932000000000002</v>
      </c>
      <c r="D22" s="4">
        <v>35.478999999999999</v>
      </c>
      <c r="E22" s="4">
        <v>32.670999999999999</v>
      </c>
      <c r="F22" s="4">
        <v>29.614999999999998</v>
      </c>
      <c r="G22" s="4">
        <v>13.24</v>
      </c>
      <c r="H22" s="4">
        <v>11.590999999999999</v>
      </c>
      <c r="I22" s="4">
        <v>10.282999999999999</v>
      </c>
      <c r="J22" s="4">
        <v>8.8970000000000002</v>
      </c>
      <c r="K22" s="4">
        <v>8.0340000000000007</v>
      </c>
    </row>
    <row r="23" spans="1:11" x14ac:dyDescent="0.25">
      <c r="A23" s="4">
        <v>22</v>
      </c>
      <c r="B23" s="4">
        <v>42.795999999999999</v>
      </c>
      <c r="C23" s="4">
        <v>40.289000000000001</v>
      </c>
      <c r="D23" s="4">
        <v>36.780999999999999</v>
      </c>
      <c r="E23" s="4">
        <v>33.923999999999999</v>
      </c>
      <c r="F23" s="4">
        <v>30.812999999999999</v>
      </c>
      <c r="G23" s="4">
        <v>14.041</v>
      </c>
      <c r="H23" s="4">
        <v>12.337999999999999</v>
      </c>
      <c r="I23" s="4">
        <v>10.981999999999999</v>
      </c>
      <c r="J23" s="4">
        <v>9.5419999999999998</v>
      </c>
      <c r="K23" s="4">
        <v>8.6430000000000007</v>
      </c>
    </row>
    <row r="24" spans="1:11" x14ac:dyDescent="0.25">
      <c r="A24" s="4">
        <v>23</v>
      </c>
      <c r="B24" s="4">
        <v>44.180999999999997</v>
      </c>
      <c r="C24" s="4">
        <v>41.637999999999998</v>
      </c>
      <c r="D24" s="4">
        <v>38.076000000000001</v>
      </c>
      <c r="E24" s="4">
        <v>35.171999999999997</v>
      </c>
      <c r="F24" s="4">
        <v>32.006999999999998</v>
      </c>
      <c r="G24" s="4">
        <v>14.848000000000001</v>
      </c>
      <c r="H24" s="4">
        <v>13.090999999999999</v>
      </c>
      <c r="I24" s="4">
        <v>11.689</v>
      </c>
      <c r="J24" s="4">
        <v>10.196</v>
      </c>
      <c r="K24" s="4">
        <v>9.26</v>
      </c>
    </row>
    <row r="25" spans="1:11" x14ac:dyDescent="0.25">
      <c r="A25" s="4">
        <v>24</v>
      </c>
      <c r="B25" s="4">
        <v>45.558999999999997</v>
      </c>
      <c r="C25" s="4">
        <v>42.98</v>
      </c>
      <c r="D25" s="4">
        <v>39.363999999999997</v>
      </c>
      <c r="E25" s="4">
        <v>36.414999999999999</v>
      </c>
      <c r="F25" s="4">
        <v>33.195999999999998</v>
      </c>
      <c r="G25" s="4">
        <v>15.659000000000001</v>
      </c>
      <c r="H25" s="4">
        <v>13.848000000000001</v>
      </c>
      <c r="I25" s="4">
        <v>12.401</v>
      </c>
      <c r="J25" s="4">
        <v>10.856</v>
      </c>
      <c r="K25" s="4">
        <v>9.8859999999999992</v>
      </c>
    </row>
    <row r="26" spans="1:11" x14ac:dyDescent="0.25">
      <c r="A26" s="4">
        <v>25</v>
      </c>
      <c r="B26" s="4">
        <v>46.927999999999997</v>
      </c>
      <c r="C26" s="4">
        <v>44.314</v>
      </c>
      <c r="D26" s="4">
        <v>40.646000000000001</v>
      </c>
      <c r="E26" s="4">
        <v>37.652000000000001</v>
      </c>
      <c r="F26" s="4">
        <v>34.381999999999998</v>
      </c>
      <c r="G26" s="4">
        <v>16.472999999999999</v>
      </c>
      <c r="H26" s="4">
        <v>14.611000000000001</v>
      </c>
      <c r="I26" s="4">
        <v>13.12</v>
      </c>
      <c r="J26" s="4">
        <v>11.523999999999999</v>
      </c>
      <c r="K26" s="4">
        <v>10.52</v>
      </c>
    </row>
    <row r="27" spans="1:11" x14ac:dyDescent="0.25">
      <c r="A27" s="4">
        <v>26</v>
      </c>
      <c r="B27" s="4">
        <v>48.29</v>
      </c>
      <c r="C27" s="4">
        <v>45.642000000000003</v>
      </c>
      <c r="D27" s="4">
        <v>41.923000000000002</v>
      </c>
      <c r="E27" s="4">
        <v>38.884999999999998</v>
      </c>
      <c r="F27" s="4">
        <v>35.563000000000002</v>
      </c>
      <c r="G27" s="4">
        <v>17.292000000000002</v>
      </c>
      <c r="H27" s="4">
        <v>15.379</v>
      </c>
      <c r="I27" s="4">
        <v>13.843999999999999</v>
      </c>
      <c r="J27" s="4">
        <v>12.198</v>
      </c>
      <c r="K27" s="4">
        <v>11.16</v>
      </c>
    </row>
    <row r="28" spans="1:11" x14ac:dyDescent="0.25">
      <c r="A28" s="4">
        <v>27</v>
      </c>
      <c r="B28" s="4">
        <v>49.645000000000003</v>
      </c>
      <c r="C28" s="4">
        <v>46.963000000000001</v>
      </c>
      <c r="D28" s="4">
        <v>43.195</v>
      </c>
      <c r="E28" s="4">
        <v>40.113</v>
      </c>
      <c r="F28" s="4">
        <v>36.741</v>
      </c>
      <c r="G28" s="4">
        <v>18.114000000000001</v>
      </c>
      <c r="H28" s="4">
        <v>16.151</v>
      </c>
      <c r="I28" s="4">
        <v>14.573</v>
      </c>
      <c r="J28" s="4">
        <v>12.879</v>
      </c>
      <c r="K28" s="4">
        <v>11.808</v>
      </c>
    </row>
    <row r="29" spans="1:11" x14ac:dyDescent="0.25">
      <c r="A29" s="4">
        <v>28</v>
      </c>
      <c r="B29" s="4">
        <v>50.993000000000002</v>
      </c>
      <c r="C29" s="4">
        <v>48.277999999999999</v>
      </c>
      <c r="D29" s="4">
        <v>44.460999999999999</v>
      </c>
      <c r="E29" s="4">
        <v>41.337000000000003</v>
      </c>
      <c r="F29" s="4">
        <v>37.915999999999997</v>
      </c>
      <c r="G29" s="4">
        <v>18.939</v>
      </c>
      <c r="H29" s="4">
        <v>16.928000000000001</v>
      </c>
      <c r="I29" s="4">
        <v>15.308</v>
      </c>
      <c r="J29" s="4">
        <v>13.565</v>
      </c>
      <c r="K29" s="4">
        <v>12.461</v>
      </c>
    </row>
    <row r="30" spans="1:11" x14ac:dyDescent="0.25">
      <c r="A30" s="4">
        <v>29</v>
      </c>
      <c r="B30" s="4">
        <v>52.335999999999999</v>
      </c>
      <c r="C30" s="4">
        <v>49.588000000000001</v>
      </c>
      <c r="D30" s="4">
        <v>45.722000000000001</v>
      </c>
      <c r="E30" s="4">
        <v>42.557000000000002</v>
      </c>
      <c r="F30" s="4">
        <v>39.087000000000003</v>
      </c>
      <c r="G30" s="4">
        <v>19.768000000000001</v>
      </c>
      <c r="H30" s="4">
        <v>17.707999999999998</v>
      </c>
      <c r="I30" s="4">
        <v>16.047000000000001</v>
      </c>
      <c r="J30" s="4">
        <v>14.256</v>
      </c>
      <c r="K30" s="4">
        <v>13.121</v>
      </c>
    </row>
    <row r="31" spans="1:11" x14ac:dyDescent="0.25">
      <c r="A31" s="4">
        <v>30</v>
      </c>
      <c r="B31" s="4">
        <v>53.671999999999997</v>
      </c>
      <c r="C31" s="4">
        <v>50.892000000000003</v>
      </c>
      <c r="D31" s="4">
        <v>46.978999999999999</v>
      </c>
      <c r="E31" s="4">
        <v>43.773000000000003</v>
      </c>
      <c r="F31" s="4">
        <v>40.256</v>
      </c>
      <c r="G31" s="4">
        <v>20.599</v>
      </c>
      <c r="H31" s="4">
        <v>18.492999999999999</v>
      </c>
      <c r="I31" s="4">
        <v>16.791</v>
      </c>
      <c r="J31" s="4">
        <v>14.952999999999999</v>
      </c>
      <c r="K31" s="4">
        <v>13.787000000000001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Chi2 Ejemplo1</vt:lpstr>
      <vt:lpstr>Chi2 Ejemplo2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Duarte</cp:lastModifiedBy>
  <dcterms:created xsi:type="dcterms:W3CDTF">2026-02-23T22:11:03Z</dcterms:created>
  <dcterms:modified xsi:type="dcterms:W3CDTF">2026-07-10T09:39:57Z</dcterms:modified>
</cp:coreProperties>
</file>